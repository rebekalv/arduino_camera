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ebekka/koding/ntnu/semesterprosjekt/arduino_camera/ttk8/diagrams/"/>
    </mc:Choice>
  </mc:AlternateContent>
  <xr:revisionPtr revIDLastSave="29" documentId="13_ncr:1_{3C5750BD-6111-FC4B-8E98-0F76FBD303C7}" xr6:coauthVersionLast="47" xr6:coauthVersionMax="47" xr10:uidLastSave="{054D6349-8AE0-4CE8-8A89-82E9EA516C5F}"/>
  <bookViews>
    <workbookView xWindow="0" yWindow="0" windowWidth="28800" windowHeight="180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" l="1"/>
  <c r="F29" i="1"/>
  <c r="M14" i="1"/>
  <c r="N14" i="1"/>
  <c r="O14" i="1"/>
  <c r="P14" i="1"/>
  <c r="L14" i="1"/>
  <c r="I14" i="1"/>
  <c r="J14" i="1"/>
  <c r="K14" i="1"/>
  <c r="F45" i="1"/>
  <c r="F32" i="1"/>
  <c r="F16" i="1"/>
  <c r="G37" i="1"/>
  <c r="F42" i="1"/>
  <c r="F40" i="1" s="1"/>
  <c r="F41" i="1"/>
  <c r="F39" i="1"/>
  <c r="F38" i="1"/>
  <c r="F44" i="1"/>
  <c r="F43" i="1"/>
  <c r="F36" i="1"/>
  <c r="F35" i="1"/>
  <c r="F33" i="1"/>
  <c r="G31" i="1"/>
  <c r="F23" i="1"/>
  <c r="F22" i="1"/>
  <c r="F21" i="1"/>
  <c r="F19" i="1"/>
  <c r="F18" i="1"/>
  <c r="F26" i="1"/>
  <c r="F25" i="1"/>
  <c r="G27" i="1"/>
  <c r="E27" i="1"/>
  <c r="E43" i="1"/>
  <c r="E14" i="1"/>
  <c r="E20" i="1"/>
  <c r="E17" i="1"/>
  <c r="G17" i="1"/>
  <c r="G14" i="1"/>
  <c r="E40" i="1"/>
  <c r="E37" i="1"/>
  <c r="E34" i="1"/>
  <c r="E31" i="1"/>
  <c r="E24" i="1"/>
  <c r="G24" i="1"/>
  <c r="G20" i="1"/>
  <c r="G43" i="1"/>
  <c r="G40" i="1"/>
  <c r="G34" i="1"/>
  <c r="F37" i="1" l="1"/>
  <c r="F34" i="1"/>
  <c r="F31" i="1"/>
  <c r="F27" i="1"/>
  <c r="C7" i="1" s="1"/>
  <c r="F20" i="1"/>
  <c r="F17" i="1"/>
  <c r="B7" i="1"/>
  <c r="D7" i="1"/>
  <c r="D10" i="1"/>
  <c r="B10" i="1"/>
  <c r="F24" i="1"/>
  <c r="F14" i="1"/>
  <c r="F15" i="1"/>
  <c r="C10" i="1" l="1"/>
</calcChain>
</file>

<file path=xl/sharedStrings.xml><?xml version="1.0" encoding="utf-8"?>
<sst xmlns="http://schemas.openxmlformats.org/spreadsheetml/2006/main" count="92" uniqueCount="89">
  <si>
    <t>Summary</t>
  </si>
  <si>
    <t xml:space="preserve"> TTK8 Project</t>
  </si>
  <si>
    <t xml:space="preserve">Obstacle detection with a nicla vision camera </t>
  </si>
  <si>
    <t>Total planned (h)</t>
  </si>
  <si>
    <t>Total used (h)</t>
  </si>
  <si>
    <t>Total completion (%)</t>
  </si>
  <si>
    <t>Semester Project</t>
  </si>
  <si>
    <t>Info</t>
  </si>
  <si>
    <t>This is a work breakdown structure for the semester project of fall 2025</t>
  </si>
  <si>
    <t>Goal</t>
  </si>
  <si>
    <t>The objective of this project is to implement a nicla vision camera on a robot, to detect the distance and width of the closest obstacle.</t>
  </si>
  <si>
    <t>Student</t>
  </si>
  <si>
    <t>Rebekka Alve</t>
  </si>
  <si>
    <t xml:space="preserve">Work Breakdown Structure (WBS) </t>
  </si>
  <si>
    <t>Plan of Progress (PoP)</t>
  </si>
  <si>
    <t>Colors :</t>
  </si>
  <si>
    <r>
      <rPr>
        <b/>
        <sz val="11"/>
        <color rgb="FF92D050"/>
        <rFont val="Calibri (Brødtekst)"/>
      </rPr>
      <t>Completed</t>
    </r>
    <r>
      <rPr>
        <b/>
        <sz val="11"/>
        <color rgb="FF00B050"/>
        <rFont val="Calibri"/>
        <family val="2"/>
        <scheme val="minor"/>
      </rPr>
      <t xml:space="preserve">, </t>
    </r>
    <r>
      <rPr>
        <b/>
        <sz val="11"/>
        <color rgb="FFFFC000"/>
        <rFont val="Calibri (Brødtekst)"/>
      </rPr>
      <t>Started</t>
    </r>
    <r>
      <rPr>
        <b/>
        <sz val="11"/>
        <color rgb="FF00B050"/>
        <rFont val="Calibri"/>
        <family val="2"/>
        <scheme val="minor"/>
      </rPr>
      <t xml:space="preserve">, </t>
    </r>
    <r>
      <rPr>
        <b/>
        <sz val="11"/>
        <color rgb="FFFF0000"/>
        <rFont val="Calibri (Brødtekst)"/>
      </rPr>
      <t xml:space="preserve">Unifinished after deadline, </t>
    </r>
    <r>
      <rPr>
        <b/>
        <sz val="11"/>
        <color theme="4"/>
        <rFont val="Calibri (Brødtekst)"/>
      </rPr>
      <t>Planned</t>
    </r>
  </si>
  <si>
    <t>Main Task</t>
  </si>
  <si>
    <t>Subtasks</t>
  </si>
  <si>
    <t>Planned Effort (h)</t>
  </si>
  <si>
    <t>Real Effort (h)</t>
  </si>
  <si>
    <t>Completion (%)</t>
  </si>
  <si>
    <t>WEEK</t>
  </si>
  <si>
    <t>35-39</t>
  </si>
  <si>
    <t>Planning</t>
  </si>
  <si>
    <t>Hours a week</t>
  </si>
  <si>
    <t>0.1</t>
  </si>
  <si>
    <t>Decide IDE, programming environment</t>
  </si>
  <si>
    <t>0.2</t>
  </si>
  <si>
    <t>create wbs, structure analysis</t>
  </si>
  <si>
    <t>1</t>
  </si>
  <si>
    <t>Setup &amp; Environment</t>
  </si>
  <si>
    <t>1.1</t>
  </si>
  <si>
    <t>Install drivers, libraries, test Nicla Vision</t>
  </si>
  <si>
    <t>1.2</t>
  </si>
  <si>
    <t>Setup ToF distance sensor</t>
  </si>
  <si>
    <t>2</t>
  </si>
  <si>
    <t>Basic Camera Functions</t>
  </si>
  <si>
    <t>2.1</t>
  </si>
  <si>
    <t>Enable live stream over wifi</t>
  </si>
  <si>
    <t>2.2</t>
  </si>
  <si>
    <t>Capture &amp; save frames</t>
  </si>
  <si>
    <t>2.3</t>
  </si>
  <si>
    <t>Preprocessing (grayscale, filtering)</t>
  </si>
  <si>
    <t>3</t>
  </si>
  <si>
    <t>Object Detection</t>
  </si>
  <si>
    <t>3.1</t>
  </si>
  <si>
    <t>Implement simple detection (shapes/blobs)</t>
  </si>
  <si>
    <t>3.2</t>
  </si>
  <si>
    <t>Advanced tuning for robustness</t>
  </si>
  <si>
    <t>4</t>
  </si>
  <si>
    <t>Documentation camera code</t>
  </si>
  <si>
    <t>4.1</t>
  </si>
  <si>
    <t>Testing and diagrams</t>
  </si>
  <si>
    <t>4.2</t>
  </si>
  <si>
    <t>Written documentation</t>
  </si>
  <si>
    <t>Margin</t>
  </si>
  <si>
    <t>--- TTK8 Ends Here ---</t>
  </si>
  <si>
    <t>In case of bad planning</t>
  </si>
  <si>
    <t>5</t>
  </si>
  <si>
    <t>Robot &amp; Camera Integration</t>
  </si>
  <si>
    <t>5.1</t>
  </si>
  <si>
    <t>Format obstacle info and send to robot</t>
  </si>
  <si>
    <t>5.2</t>
  </si>
  <si>
    <t>Connect camera to robot via uart</t>
  </si>
  <si>
    <t>6</t>
  </si>
  <si>
    <t>Server &amp; Camera Integration</t>
  </si>
  <si>
    <t>6.1</t>
  </si>
  <si>
    <t>Send results from robot to server</t>
  </si>
  <si>
    <t>6.2</t>
  </si>
  <si>
    <t>Process and interpret obstacle info</t>
  </si>
  <si>
    <t>Obstacle mapping</t>
  </si>
  <si>
    <t>7.1</t>
  </si>
  <si>
    <t>Add obstacles to map</t>
  </si>
  <si>
    <t>7.2</t>
  </si>
  <si>
    <t>Use obstacle info to control robot</t>
  </si>
  <si>
    <t>Testing &amp; Evaluation</t>
  </si>
  <si>
    <t>8.1</t>
  </si>
  <si>
    <t>Indoor test with objects</t>
  </si>
  <si>
    <t>8.2</t>
  </si>
  <si>
    <t>Optitrack testing with objects</t>
  </si>
  <si>
    <t>9</t>
  </si>
  <si>
    <t>Documentation</t>
  </si>
  <si>
    <t>9.1</t>
  </si>
  <si>
    <t>Structured analysis &amp; diagrams</t>
  </si>
  <si>
    <t>9.2</t>
  </si>
  <si>
    <t>Write user manual and project thesis</t>
  </si>
  <si>
    <t>Dependecies are linear</t>
  </si>
  <si>
    <t>Next task depends on prior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</si>
</sst>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 (Brødtekst)"/>
    </font>
    <font>
      <b/>
      <sz val="20"/>
      <color theme="1"/>
      <name val="Calibri"/>
      <family val="2"/>
      <scheme val="minor"/>
    </font>
    <font>
      <b/>
      <sz val="11"/>
      <color rgb="FF92D050"/>
      <name val="Calibri (Brødtekst)"/>
    </font>
    <font>
      <b/>
      <sz val="11"/>
      <color rgb="FF00B050"/>
      <name val="Calibri"/>
      <family val="2"/>
      <scheme val="minor"/>
    </font>
    <font>
      <b/>
      <sz val="11"/>
      <color rgb="FFFFC000"/>
      <name val="Calibri (Brødtekst)"/>
    </font>
    <font>
      <b/>
      <sz val="11"/>
      <color rgb="FFFF0000"/>
      <name val="Calibri (Brødtekst)"/>
    </font>
    <font>
      <b/>
      <sz val="11"/>
      <color theme="4"/>
      <name val="Calibri (Brødtekst)"/>
    </font>
    <font>
      <b/>
      <sz val="22"/>
      <color theme="1"/>
      <name val="Calibri"/>
      <family val="2"/>
      <scheme val="minor"/>
    </font>
    <font>
      <b/>
      <sz val="22"/>
      <color theme="1"/>
      <name val="Calibri (Brødtekst)"/>
    </font>
    <font>
      <b/>
      <sz val="24"/>
      <color theme="1"/>
      <name val="Calibri (Brødtekst)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 style="medium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theme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/>
      <right style="thin">
        <color indexed="64"/>
      </right>
      <top/>
      <bottom style="medium">
        <color theme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08">
    <xf numFmtId="0" fontId="0" fillId="0" borderId="0" xfId="0"/>
    <xf numFmtId="0" fontId="2" fillId="4" borderId="2" xfId="0" applyFont="1" applyFill="1" applyBorder="1" applyAlignment="1">
      <alignment horizontal="center" vertical="top"/>
    </xf>
    <xf numFmtId="0" fontId="2" fillId="4" borderId="7" xfId="0" applyFont="1" applyFill="1" applyBorder="1" applyAlignment="1">
      <alignment horizontal="center" vertical="top"/>
    </xf>
    <xf numFmtId="0" fontId="0" fillId="3" borderId="8" xfId="0" applyFill="1" applyBorder="1"/>
    <xf numFmtId="0" fontId="0" fillId="4" borderId="7" xfId="0" applyFill="1" applyBorder="1"/>
    <xf numFmtId="0" fontId="0" fillId="4" borderId="9" xfId="0" applyFill="1" applyBorder="1"/>
    <xf numFmtId="0" fontId="2" fillId="3" borderId="10" xfId="0" applyFont="1" applyFill="1" applyBorder="1" applyAlignment="1">
      <alignment horizontal="center" vertical="top"/>
    </xf>
    <xf numFmtId="0" fontId="4" fillId="4" borderId="6" xfId="0" applyFont="1" applyFill="1" applyBorder="1" applyAlignment="1">
      <alignment horizontal="left" vertical="top"/>
    </xf>
    <xf numFmtId="0" fontId="4" fillId="4" borderId="6" xfId="0" applyFont="1" applyFill="1" applyBorder="1"/>
    <xf numFmtId="0" fontId="4" fillId="3" borderId="10" xfId="0" applyFont="1" applyFill="1" applyBorder="1"/>
    <xf numFmtId="0" fontId="4" fillId="4" borderId="11" xfId="0" applyFont="1" applyFill="1" applyBorder="1"/>
    <xf numFmtId="0" fontId="0" fillId="3" borderId="8" xfId="0" applyFill="1" applyBorder="1" applyAlignment="1">
      <alignment horizontal="left" vertical="top"/>
    </xf>
    <xf numFmtId="0" fontId="5" fillId="3" borderId="8" xfId="0" applyFont="1" applyFill="1" applyBorder="1" applyAlignment="1">
      <alignment horizontal="right" vertical="top"/>
    </xf>
    <xf numFmtId="0" fontId="4" fillId="4" borderId="7" xfId="0" applyFont="1" applyFill="1" applyBorder="1" applyAlignment="1">
      <alignment horizontal="right"/>
    </xf>
    <xf numFmtId="0" fontId="5" fillId="3" borderId="8" xfId="0" applyFont="1" applyFill="1" applyBorder="1" applyAlignment="1">
      <alignment horizontal="right"/>
    </xf>
    <xf numFmtId="0" fontId="4" fillId="4" borderId="9" xfId="0" applyFont="1" applyFill="1" applyBorder="1" applyAlignment="1">
      <alignment horizontal="right"/>
    </xf>
    <xf numFmtId="0" fontId="0" fillId="6" borderId="0" xfId="0" applyFill="1"/>
    <xf numFmtId="0" fontId="0" fillId="5" borderId="0" xfId="0" applyFill="1"/>
    <xf numFmtId="49" fontId="2" fillId="5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right"/>
    </xf>
    <xf numFmtId="0" fontId="4" fillId="4" borderId="7" xfId="0" applyFont="1" applyFill="1" applyBorder="1"/>
    <xf numFmtId="0" fontId="4" fillId="4" borderId="9" xfId="0" applyFont="1" applyFill="1" applyBorder="1"/>
    <xf numFmtId="0" fontId="4" fillId="3" borderId="8" xfId="0" applyFont="1" applyFill="1" applyBorder="1"/>
    <xf numFmtId="0" fontId="0" fillId="2" borderId="0" xfId="0" applyFill="1"/>
    <xf numFmtId="0" fontId="0" fillId="2" borderId="4" xfId="0" applyFill="1" applyBorder="1"/>
    <xf numFmtId="0" fontId="0" fillId="2" borderId="0" xfId="0" applyFill="1" applyAlignment="1">
      <alignment horizontal="right"/>
    </xf>
    <xf numFmtId="0" fontId="1" fillId="2" borderId="0" xfId="0" applyFont="1" applyFill="1" applyAlignment="1">
      <alignment horizontal="center"/>
    </xf>
    <xf numFmtId="0" fontId="0" fillId="2" borderId="14" xfId="0" applyFill="1" applyBorder="1"/>
    <xf numFmtId="0" fontId="0" fillId="2" borderId="5" xfId="0" applyFill="1" applyBorder="1"/>
    <xf numFmtId="0" fontId="11" fillId="9" borderId="0" xfId="0" applyFont="1" applyFill="1"/>
    <xf numFmtId="0" fontId="0" fillId="9" borderId="0" xfId="0" applyFill="1"/>
    <xf numFmtId="0" fontId="0" fillId="9" borderId="4" xfId="0" applyFill="1" applyBorder="1"/>
    <xf numFmtId="0" fontId="2" fillId="2" borderId="8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2" xfId="0" applyFont="1" applyFill="1" applyBorder="1"/>
    <xf numFmtId="0" fontId="2" fillId="2" borderId="13" xfId="0" applyFont="1" applyFill="1" applyBorder="1"/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14" xfId="0" applyBorder="1" applyAlignment="1">
      <alignment horizontal="center"/>
    </xf>
    <xf numFmtId="0" fontId="7" fillId="0" borderId="16" xfId="0" applyFont="1" applyBorder="1"/>
    <xf numFmtId="0" fontId="7" fillId="0" borderId="17" xfId="0" applyFont="1" applyBorder="1"/>
    <xf numFmtId="0" fontId="0" fillId="3" borderId="23" xfId="0" applyFill="1" applyBorder="1"/>
    <xf numFmtId="0" fontId="0" fillId="3" borderId="24" xfId="0" applyFill="1" applyBorder="1"/>
    <xf numFmtId="0" fontId="0" fillId="9" borderId="18" xfId="0" applyFill="1" applyBorder="1"/>
    <xf numFmtId="0" fontId="15" fillId="9" borderId="19" xfId="0" applyFont="1" applyFill="1" applyBorder="1" applyAlignment="1">
      <alignment horizontal="left"/>
    </xf>
    <xf numFmtId="0" fontId="0" fillId="9" borderId="20" xfId="0" applyFill="1" applyBorder="1"/>
    <xf numFmtId="0" fontId="0" fillId="9" borderId="22" xfId="0" applyFill="1" applyBorder="1"/>
    <xf numFmtId="0" fontId="0" fillId="3" borderId="21" xfId="0" applyFill="1" applyBorder="1"/>
    <xf numFmtId="0" fontId="0" fillId="3" borderId="22" xfId="0" applyFill="1" applyBorder="1"/>
    <xf numFmtId="0" fontId="0" fillId="9" borderId="31" xfId="0" applyFill="1" applyBorder="1"/>
    <xf numFmtId="0" fontId="0" fillId="9" borderId="32" xfId="0" applyFill="1" applyBorder="1"/>
    <xf numFmtId="0" fontId="2" fillId="9" borderId="0" xfId="0" applyFont="1" applyFill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top"/>
    </xf>
    <xf numFmtId="0" fontId="2" fillId="2" borderId="7" xfId="0" applyFont="1" applyFill="1" applyBorder="1" applyAlignment="1">
      <alignment horizontal="center" vertical="top"/>
    </xf>
    <xf numFmtId="0" fontId="0" fillId="6" borderId="19" xfId="0" applyFill="1" applyBorder="1"/>
    <xf numFmtId="0" fontId="0" fillId="6" borderId="20" xfId="0" applyFill="1" applyBorder="1"/>
    <xf numFmtId="0" fontId="0" fillId="6" borderId="22" xfId="0" applyFill="1" applyBorder="1"/>
    <xf numFmtId="0" fontId="0" fillId="8" borderId="14" xfId="0" applyFill="1" applyBorder="1"/>
    <xf numFmtId="0" fontId="9" fillId="8" borderId="14" xfId="0" applyFont="1" applyFill="1" applyBorder="1"/>
    <xf numFmtId="0" fontId="0" fillId="8" borderId="5" xfId="0" applyFill="1" applyBorder="1"/>
    <xf numFmtId="0" fontId="2" fillId="9" borderId="25" xfId="0" applyFont="1" applyFill="1" applyBorder="1"/>
    <xf numFmtId="0" fontId="2" fillId="9" borderId="1" xfId="0" applyFont="1" applyFill="1" applyBorder="1"/>
    <xf numFmtId="9" fontId="2" fillId="9" borderId="26" xfId="0" applyNumberFormat="1" applyFont="1" applyFill="1" applyBorder="1"/>
    <xf numFmtId="0" fontId="5" fillId="9" borderId="27" xfId="0" applyFont="1" applyFill="1" applyBorder="1" applyAlignment="1">
      <alignment horizontal="center"/>
    </xf>
    <xf numFmtId="0" fontId="5" fillId="9" borderId="28" xfId="0" applyFont="1" applyFill="1" applyBorder="1"/>
    <xf numFmtId="9" fontId="5" fillId="9" borderId="29" xfId="1" applyFont="1" applyFill="1" applyBorder="1"/>
    <xf numFmtId="0" fontId="0" fillId="9" borderId="33" xfId="0" applyFill="1" applyBorder="1" applyAlignment="1">
      <alignment horizontal="center"/>
    </xf>
    <xf numFmtId="0" fontId="0" fillId="9" borderId="34" xfId="0" applyFill="1" applyBorder="1" applyAlignment="1">
      <alignment horizontal="center"/>
    </xf>
    <xf numFmtId="0" fontId="0" fillId="9" borderId="35" xfId="0" applyFill="1" applyBorder="1" applyAlignment="1">
      <alignment horizontal="center"/>
    </xf>
    <xf numFmtId="0" fontId="0" fillId="9" borderId="36" xfId="0" applyFill="1" applyBorder="1"/>
    <xf numFmtId="0" fontId="0" fillId="9" borderId="37" xfId="0" applyFill="1" applyBorder="1"/>
    <xf numFmtId="0" fontId="2" fillId="3" borderId="3" xfId="0" applyFont="1" applyFill="1" applyBorder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0" fontId="16" fillId="6" borderId="19" xfId="0" applyFont="1" applyFill="1" applyBorder="1" applyAlignment="1">
      <alignment horizontal="center"/>
    </xf>
    <xf numFmtId="0" fontId="17" fillId="6" borderId="0" xfId="0" applyFont="1" applyFill="1"/>
    <xf numFmtId="0" fontId="0" fillId="10" borderId="30" xfId="0" applyFill="1" applyBorder="1" applyAlignment="1">
      <alignment horizontal="center"/>
    </xf>
    <xf numFmtId="0" fontId="0" fillId="10" borderId="31" xfId="0" applyFill="1" applyBorder="1"/>
    <xf numFmtId="0" fontId="0" fillId="10" borderId="32" xfId="0" applyFill="1" applyBorder="1"/>
    <xf numFmtId="0" fontId="2" fillId="2" borderId="38" xfId="0" applyFont="1" applyFill="1" applyBorder="1" applyAlignment="1">
      <alignment horizontal="center"/>
    </xf>
    <xf numFmtId="0" fontId="0" fillId="10" borderId="18" xfId="0" applyFill="1" applyBorder="1"/>
    <xf numFmtId="0" fontId="0" fillId="10" borderId="19" xfId="0" applyFill="1" applyBorder="1"/>
    <xf numFmtId="0" fontId="8" fillId="10" borderId="19" xfId="0" applyFont="1" applyFill="1" applyBorder="1" applyAlignment="1">
      <alignment horizontal="left"/>
    </xf>
    <xf numFmtId="0" fontId="0" fillId="10" borderId="20" xfId="0" applyFill="1" applyBorder="1"/>
    <xf numFmtId="0" fontId="0" fillId="2" borderId="33" xfId="0" applyFill="1" applyBorder="1"/>
    <xf numFmtId="0" fontId="2" fillId="2" borderId="22" xfId="0" applyFont="1" applyFill="1" applyBorder="1" applyAlignment="1">
      <alignment horizontal="center" vertical="top"/>
    </xf>
    <xf numFmtId="49" fontId="0" fillId="2" borderId="39" xfId="0" applyNumberFormat="1" applyFill="1" applyBorder="1" applyAlignment="1">
      <alignment horizontal="center"/>
    </xf>
    <xf numFmtId="9" fontId="6" fillId="3" borderId="40" xfId="0" applyNumberFormat="1" applyFont="1" applyFill="1" applyBorder="1"/>
    <xf numFmtId="49" fontId="0" fillId="2" borderId="33" xfId="0" applyNumberFormat="1" applyFill="1" applyBorder="1" applyAlignment="1">
      <alignment horizontal="center"/>
    </xf>
    <xf numFmtId="9" fontId="4" fillId="4" borderId="22" xfId="0" applyNumberFormat="1" applyFont="1" applyFill="1" applyBorder="1"/>
    <xf numFmtId="9" fontId="5" fillId="3" borderId="40" xfId="0" applyNumberFormat="1" applyFont="1" applyFill="1" applyBorder="1"/>
    <xf numFmtId="49" fontId="0" fillId="2" borderId="41" xfId="0" applyNumberFormat="1" applyFill="1" applyBorder="1" applyAlignment="1">
      <alignment horizontal="center"/>
    </xf>
    <xf numFmtId="9" fontId="4" fillId="4" borderId="42" xfId="0" applyNumberFormat="1" applyFont="1" applyFill="1" applyBorder="1"/>
    <xf numFmtId="49" fontId="0" fillId="5" borderId="21" xfId="0" applyNumberFormat="1" applyFill="1" applyBorder="1" applyAlignment="1">
      <alignment horizontal="center"/>
    </xf>
    <xf numFmtId="9" fontId="4" fillId="5" borderId="22" xfId="0" applyNumberFormat="1" applyFont="1" applyFill="1" applyBorder="1"/>
    <xf numFmtId="49" fontId="0" fillId="2" borderId="34" xfId="0" applyNumberFormat="1" applyFill="1" applyBorder="1" applyAlignment="1">
      <alignment horizontal="center"/>
    </xf>
    <xf numFmtId="0" fontId="0" fillId="4" borderId="43" xfId="0" applyFill="1" applyBorder="1"/>
    <xf numFmtId="0" fontId="4" fillId="4" borderId="44" xfId="0" applyFont="1" applyFill="1" applyBorder="1"/>
    <xf numFmtId="0" fontId="4" fillId="4" borderId="43" xfId="0" applyFont="1" applyFill="1" applyBorder="1" applyAlignment="1">
      <alignment horizontal="right"/>
    </xf>
    <xf numFmtId="9" fontId="4" fillId="4" borderId="32" xfId="0" applyNumberFormat="1" applyFont="1" applyFill="1" applyBorder="1"/>
    <xf numFmtId="1" fontId="2" fillId="2" borderId="12" xfId="0" applyNumberFormat="1" applyFont="1" applyFill="1" applyBorder="1"/>
    <xf numFmtId="0" fontId="0" fillId="9" borderId="0" xfId="0" applyFill="1" applyAlignment="1">
      <alignment horizontal="center"/>
    </xf>
    <xf numFmtId="0" fontId="0" fillId="9" borderId="14" xfId="0" applyFill="1" applyBorder="1" applyAlignment="1">
      <alignment horizontal="center"/>
    </xf>
    <xf numFmtId="0" fontId="4" fillId="6" borderId="14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4" fillId="11" borderId="0" xfId="0" applyFont="1" applyFill="1" applyAlignment="1">
      <alignment horizontal="center"/>
    </xf>
    <xf numFmtId="0" fontId="4" fillId="11" borderId="14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0FF75"/>
      <color rgb="FFF1EE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1103423</xdr:colOff>
      <xdr:row>13</xdr:row>
      <xdr:rowOff>2659</xdr:rowOff>
    </xdr:from>
    <xdr:to>
      <xdr:col>1</xdr:col>
      <xdr:colOff>1103423</xdr:colOff>
      <xdr:row>46</xdr:row>
      <xdr:rowOff>28059</xdr:rowOff>
    </xdr:to>
    <xdr:cxnSp macro="">
      <xdr:nvCxnSpPr>
        <xdr:cNvPr id="3" name="Rett pil 2">
          <a:extLst>
            <a:ext uri="{FF2B5EF4-FFF2-40B4-BE49-F238E27FC236}">
              <a16:creationId xmlns:a16="http://schemas.microsoft.com/office/drawing/2014/main" id="{1C10D6CF-B495-C9DD-7263-F4CE618D4EB2}"/>
            </a:ext>
          </a:extLst>
        </xdr:cNvPr>
        <xdr:cNvCxnSpPr/>
      </xdr:nvCxnSpPr>
      <xdr:spPr>
        <a:xfrm>
          <a:off x="1782725" y="3458240"/>
          <a:ext cx="0" cy="6567377"/>
        </a:xfrm>
        <a:prstGeom prst="straightConnector1">
          <a:avLst/>
        </a:prstGeom>
        <a:ln w="60325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S48"/>
  <sheetViews>
    <sheetView tabSelected="1" zoomScale="131" workbookViewId="0">
      <selection activeCell="G49" sqref="G49"/>
    </sheetView>
  </sheetViews>
  <sheetFormatPr defaultColWidth="8.85546875" defaultRowHeight="15"/>
  <cols>
    <col min="2" max="2" width="14.85546875" customWidth="1"/>
    <col min="3" max="3" width="25.42578125" customWidth="1"/>
    <col min="4" max="4" width="33.28515625" customWidth="1"/>
    <col min="5" max="5" width="19.42578125" customWidth="1"/>
    <col min="6" max="6" width="19.85546875" customWidth="1"/>
    <col min="7" max="7" width="19.28515625" customWidth="1"/>
    <col min="8" max="8" width="13" customWidth="1"/>
    <col min="9" max="9" width="11.140625" customWidth="1"/>
    <col min="10" max="10" width="9.85546875" customWidth="1"/>
    <col min="11" max="11" width="9.42578125" customWidth="1"/>
    <col min="14" max="14" width="8.85546875" customWidth="1"/>
  </cols>
  <sheetData>
    <row r="3" spans="2:19" ht="15.95" thickBot="1"/>
    <row r="4" spans="2:19" ht="30" thickBot="1">
      <c r="B4" s="44"/>
      <c r="C4" s="45" t="s">
        <v>0</v>
      </c>
      <c r="D4" s="46"/>
      <c r="E4" s="56"/>
      <c r="F4" s="56"/>
      <c r="G4" s="75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7"/>
    </row>
    <row r="5" spans="2:19" ht="30.95">
      <c r="B5" s="42"/>
      <c r="C5" s="73" t="s">
        <v>1</v>
      </c>
      <c r="D5" s="43"/>
      <c r="E5" s="16"/>
      <c r="F5" s="16"/>
      <c r="G5" s="76" t="s">
        <v>2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58"/>
    </row>
    <row r="6" spans="2:19">
      <c r="B6" s="62" t="s">
        <v>3</v>
      </c>
      <c r="C6" s="63" t="s">
        <v>4</v>
      </c>
      <c r="D6" s="64" t="s">
        <v>5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58"/>
    </row>
    <row r="7" spans="2:19" ht="15.95" thickBot="1">
      <c r="B7" s="65">
        <f>SUM(E14,E17,E24,E20,E27)</f>
        <v>116</v>
      </c>
      <c r="C7" s="66">
        <f>SUM(F24,F20,F17,F14,F27)</f>
        <v>100</v>
      </c>
      <c r="D7" s="67">
        <f>AVERAGE(G24,G20,G17,G14,G27)</f>
        <v>0.98000000000000009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58"/>
    </row>
    <row r="8" spans="2:19">
      <c r="B8" s="48"/>
      <c r="C8" s="74" t="s">
        <v>6</v>
      </c>
      <c r="D8" s="49"/>
      <c r="E8" s="70" t="s">
        <v>7</v>
      </c>
      <c r="F8" s="71" t="s">
        <v>8</v>
      </c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2"/>
    </row>
    <row r="9" spans="2:19">
      <c r="B9" s="62" t="s">
        <v>3</v>
      </c>
      <c r="C9" s="63" t="s">
        <v>4</v>
      </c>
      <c r="D9" s="64" t="s">
        <v>5</v>
      </c>
      <c r="E9" s="68" t="s">
        <v>9</v>
      </c>
      <c r="F9" s="30" t="s">
        <v>10</v>
      </c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47"/>
    </row>
    <row r="10" spans="2:19" ht="15.95" thickBot="1">
      <c r="B10" s="65">
        <f>SUM(E14,E17,E43,E40,E37,E34,E31,E24,E20,E27)</f>
        <v>300</v>
      </c>
      <c r="C10" s="66">
        <f>SUM(F43,F40,F37,F34,F31,F24,F20,F17,F14,F27)</f>
        <v>143</v>
      </c>
      <c r="D10" s="67">
        <f>AVERAGE(G43,G40,G37,G34,G31,G24,G20,G17,G14,G27)</f>
        <v>0.56650000000000011</v>
      </c>
      <c r="E10" s="69" t="s">
        <v>11</v>
      </c>
      <c r="F10" s="50" t="s">
        <v>12</v>
      </c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1"/>
    </row>
    <row r="11" spans="2:19" ht="27" thickBot="1">
      <c r="B11" s="81"/>
      <c r="C11" s="82"/>
      <c r="D11" s="83" t="s">
        <v>13</v>
      </c>
      <c r="E11" s="82"/>
      <c r="F11" s="82"/>
      <c r="G11" s="84"/>
      <c r="H11" s="59"/>
      <c r="I11" s="59"/>
      <c r="J11" s="59"/>
      <c r="K11" s="59"/>
      <c r="L11" s="60" t="s">
        <v>14</v>
      </c>
      <c r="M11" s="59"/>
      <c r="N11" s="59"/>
      <c r="O11" s="59"/>
      <c r="P11" s="59"/>
      <c r="Q11" s="59"/>
      <c r="R11" s="59"/>
      <c r="S11" s="61"/>
    </row>
    <row r="12" spans="2:19" ht="15.95" thickBot="1">
      <c r="B12" s="77"/>
      <c r="C12" s="78"/>
      <c r="D12" s="78"/>
      <c r="E12" s="78"/>
      <c r="F12" s="78"/>
      <c r="G12" s="79"/>
      <c r="H12" s="52" t="s">
        <v>15</v>
      </c>
      <c r="I12" s="29" t="s">
        <v>16</v>
      </c>
      <c r="J12" s="30"/>
      <c r="K12" s="30"/>
      <c r="L12" s="30"/>
      <c r="M12" s="30"/>
      <c r="N12" s="30"/>
      <c r="O12" s="30"/>
      <c r="P12" s="30"/>
      <c r="Q12" s="30"/>
      <c r="R12" s="30"/>
      <c r="S12" s="31"/>
    </row>
    <row r="13" spans="2:19" ht="15.95" thickBot="1">
      <c r="B13" s="85"/>
      <c r="C13" s="54" t="s">
        <v>17</v>
      </c>
      <c r="D13" s="55" t="s">
        <v>18</v>
      </c>
      <c r="E13" s="55" t="s">
        <v>19</v>
      </c>
      <c r="F13" s="55" t="s">
        <v>20</v>
      </c>
      <c r="G13" s="86" t="s">
        <v>21</v>
      </c>
      <c r="H13" s="53" t="s">
        <v>22</v>
      </c>
      <c r="I13" s="32" t="s">
        <v>23</v>
      </c>
      <c r="J13" s="32">
        <v>40</v>
      </c>
      <c r="K13" s="32">
        <v>41</v>
      </c>
      <c r="L13" s="32">
        <v>42</v>
      </c>
      <c r="M13" s="32">
        <v>43</v>
      </c>
      <c r="N13" s="32">
        <v>44</v>
      </c>
      <c r="O13" s="32">
        <v>45</v>
      </c>
      <c r="P13" s="32">
        <v>46</v>
      </c>
      <c r="Q13" s="32">
        <v>47</v>
      </c>
      <c r="R13" s="32">
        <v>48</v>
      </c>
      <c r="S13" s="33">
        <v>49</v>
      </c>
    </row>
    <row r="14" spans="2:19" ht="15.95" thickBot="1">
      <c r="B14" s="87">
        <v>0</v>
      </c>
      <c r="C14" s="11" t="s">
        <v>24</v>
      </c>
      <c r="D14" s="6"/>
      <c r="E14" s="12">
        <f>SUM(E15:E16)</f>
        <v>12</v>
      </c>
      <c r="F14" s="12">
        <f>SUM(F15:F16)</f>
        <v>22</v>
      </c>
      <c r="G14" s="88">
        <f>AVERAGE(G15:G16)</f>
        <v>1</v>
      </c>
      <c r="H14" s="80" t="s">
        <v>25</v>
      </c>
      <c r="I14" s="101">
        <f>SUM(I15:I45)/5</f>
        <v>13.2</v>
      </c>
      <c r="J14" s="34">
        <f>SUM(J15:J45)</f>
        <v>12</v>
      </c>
      <c r="K14" s="34">
        <f>SUM(K15:K45)</f>
        <v>17</v>
      </c>
      <c r="L14" s="34">
        <f>SUM(L15:L45)</f>
        <v>21</v>
      </c>
      <c r="M14" s="34">
        <f>SUM(M15:M45)</f>
        <v>4</v>
      </c>
      <c r="N14" s="34">
        <f t="shared" ref="N14:P14" si="0">SUM(N15:N45)</f>
        <v>0</v>
      </c>
      <c r="O14" s="34">
        <f t="shared" si="0"/>
        <v>12</v>
      </c>
      <c r="P14" s="34">
        <f t="shared" si="0"/>
        <v>11</v>
      </c>
      <c r="Q14" s="34"/>
      <c r="R14" s="34"/>
      <c r="S14" s="35"/>
    </row>
    <row r="15" spans="2:19">
      <c r="B15" s="89" t="s">
        <v>26</v>
      </c>
      <c r="C15" s="1"/>
      <c r="D15" s="7" t="s">
        <v>27</v>
      </c>
      <c r="E15" s="13">
        <v>8</v>
      </c>
      <c r="F15" s="13">
        <f>SUM(H15:P15)</f>
        <v>16</v>
      </c>
      <c r="G15" s="90">
        <v>1</v>
      </c>
      <c r="H15" s="102"/>
      <c r="I15" s="37">
        <v>16</v>
      </c>
      <c r="J15" s="36"/>
      <c r="K15" s="36"/>
      <c r="L15" s="36"/>
      <c r="M15" s="36"/>
      <c r="N15" s="36"/>
      <c r="O15" s="36"/>
      <c r="P15" s="36"/>
      <c r="Q15" s="23"/>
      <c r="R15" s="23"/>
      <c r="S15" s="24"/>
    </row>
    <row r="16" spans="2:19" ht="15.95" thickBot="1">
      <c r="B16" s="89" t="s">
        <v>28</v>
      </c>
      <c r="C16" s="2"/>
      <c r="D16" s="7" t="s">
        <v>29</v>
      </c>
      <c r="E16" s="13">
        <v>4</v>
      </c>
      <c r="F16" s="13">
        <f>SUM(H16:P16)</f>
        <v>6</v>
      </c>
      <c r="G16" s="90">
        <v>1</v>
      </c>
      <c r="H16" s="102"/>
      <c r="I16" s="37">
        <v>6</v>
      </c>
      <c r="J16" s="36"/>
      <c r="K16" s="36"/>
      <c r="L16" s="36"/>
      <c r="M16" s="36"/>
      <c r="N16" s="36"/>
      <c r="O16" s="36"/>
      <c r="P16" s="36"/>
      <c r="Q16" s="23"/>
      <c r="R16" s="23"/>
      <c r="S16" s="24"/>
    </row>
    <row r="17" spans="2:19">
      <c r="B17" s="87" t="s">
        <v>30</v>
      </c>
      <c r="C17" s="3" t="s">
        <v>31</v>
      </c>
      <c r="D17" s="6"/>
      <c r="E17" s="12">
        <f>SUM(E18:E19)</f>
        <v>12</v>
      </c>
      <c r="F17" s="12">
        <f>SUM(F18:F19)</f>
        <v>10</v>
      </c>
      <c r="G17" s="88">
        <f>AVERAGE(G18:G19)</f>
        <v>1</v>
      </c>
      <c r="H17" s="102"/>
      <c r="I17" s="102"/>
      <c r="J17" s="102"/>
      <c r="K17" s="102"/>
      <c r="L17" s="102"/>
      <c r="M17" s="102"/>
      <c r="N17" s="102"/>
      <c r="O17" s="102"/>
      <c r="P17" s="102"/>
      <c r="Q17" s="23"/>
      <c r="R17" s="23"/>
      <c r="S17" s="24"/>
    </row>
    <row r="18" spans="2:19">
      <c r="B18" s="89" t="s">
        <v>32</v>
      </c>
      <c r="C18" s="4"/>
      <c r="D18" s="8" t="s">
        <v>33</v>
      </c>
      <c r="E18" s="13">
        <v>8</v>
      </c>
      <c r="F18" s="13">
        <f>SUM(H18:P18)</f>
        <v>8</v>
      </c>
      <c r="G18" s="90">
        <v>1</v>
      </c>
      <c r="H18" s="102"/>
      <c r="I18" s="37">
        <v>8</v>
      </c>
      <c r="J18" s="36"/>
      <c r="K18" s="36"/>
      <c r="L18" s="36"/>
      <c r="M18" s="36"/>
      <c r="N18" s="36"/>
      <c r="O18" s="36"/>
      <c r="P18" s="36"/>
      <c r="Q18" s="23"/>
      <c r="R18" s="23"/>
      <c r="S18" s="24"/>
    </row>
    <row r="19" spans="2:19" ht="15.95" thickBot="1">
      <c r="B19" s="89" t="s">
        <v>34</v>
      </c>
      <c r="C19" s="4"/>
      <c r="D19" s="8" t="s">
        <v>35</v>
      </c>
      <c r="E19" s="13">
        <v>4</v>
      </c>
      <c r="F19" s="13">
        <f>SUM(H19:P19)</f>
        <v>2</v>
      </c>
      <c r="G19" s="90">
        <v>1</v>
      </c>
      <c r="H19" s="102"/>
      <c r="I19" s="37">
        <v>2</v>
      </c>
      <c r="J19" s="36"/>
      <c r="K19" s="36"/>
      <c r="L19" s="36"/>
      <c r="M19" s="36"/>
      <c r="N19" s="36"/>
      <c r="O19" s="36"/>
      <c r="P19" s="36"/>
      <c r="Q19" s="23"/>
      <c r="R19" s="23"/>
      <c r="S19" s="24"/>
    </row>
    <row r="20" spans="2:19">
      <c r="B20" s="87" t="s">
        <v>36</v>
      </c>
      <c r="C20" s="3" t="s">
        <v>37</v>
      </c>
      <c r="D20" s="9"/>
      <c r="E20" s="14">
        <f>SUM(E21:E23)</f>
        <v>28</v>
      </c>
      <c r="F20" s="12">
        <f>SUM(F21:F23)</f>
        <v>17</v>
      </c>
      <c r="G20" s="88">
        <f>AVERAGE(G21:G23)</f>
        <v>1</v>
      </c>
      <c r="H20" s="102"/>
      <c r="I20" s="102"/>
      <c r="J20" s="102"/>
      <c r="K20" s="102"/>
      <c r="L20" s="102"/>
      <c r="M20" s="102"/>
      <c r="N20" s="102"/>
      <c r="O20" s="102"/>
      <c r="P20" s="102"/>
      <c r="Q20" s="23"/>
      <c r="R20" s="23"/>
      <c r="S20" s="24"/>
    </row>
    <row r="21" spans="2:19">
      <c r="B21" s="89" t="s">
        <v>38</v>
      </c>
      <c r="C21" s="4"/>
      <c r="D21" s="8" t="s">
        <v>39</v>
      </c>
      <c r="E21" s="13">
        <v>8</v>
      </c>
      <c r="F21" s="13">
        <f>SUM(H21:P21)</f>
        <v>10</v>
      </c>
      <c r="G21" s="90">
        <v>1</v>
      </c>
      <c r="H21" s="102"/>
      <c r="I21" s="37">
        <v>6</v>
      </c>
      <c r="J21" s="37">
        <v>1</v>
      </c>
      <c r="K21" s="37">
        <v>1</v>
      </c>
      <c r="L21" s="37">
        <v>1</v>
      </c>
      <c r="M21" s="37">
        <v>1</v>
      </c>
      <c r="N21" s="36"/>
      <c r="O21" s="36"/>
      <c r="P21" s="36"/>
      <c r="Q21" s="23"/>
      <c r="R21" s="23"/>
      <c r="S21" s="24"/>
    </row>
    <row r="22" spans="2:19">
      <c r="B22" s="89" t="s">
        <v>40</v>
      </c>
      <c r="C22" s="4"/>
      <c r="D22" s="8" t="s">
        <v>41</v>
      </c>
      <c r="E22" s="13">
        <v>4</v>
      </c>
      <c r="F22" s="13">
        <f>SUM(H22:P22)</f>
        <v>3</v>
      </c>
      <c r="G22" s="90">
        <v>1</v>
      </c>
      <c r="H22" s="102"/>
      <c r="I22" s="37">
        <v>1</v>
      </c>
      <c r="J22" s="36"/>
      <c r="K22" s="36"/>
      <c r="L22" s="37">
        <v>2</v>
      </c>
      <c r="M22" s="36"/>
      <c r="N22" s="36"/>
      <c r="O22" s="36"/>
      <c r="P22" s="36"/>
      <c r="Q22" s="23"/>
      <c r="R22" s="23"/>
      <c r="S22" s="24"/>
    </row>
    <row r="23" spans="2:19" ht="15.95" thickBot="1">
      <c r="B23" s="89" t="s">
        <v>42</v>
      </c>
      <c r="C23" s="4"/>
      <c r="D23" s="8" t="s">
        <v>43</v>
      </c>
      <c r="E23" s="13">
        <v>16</v>
      </c>
      <c r="F23" s="13">
        <f>SUM(H23:P23)</f>
        <v>4</v>
      </c>
      <c r="G23" s="90">
        <v>1</v>
      </c>
      <c r="H23" s="102"/>
      <c r="I23" s="37">
        <v>3</v>
      </c>
      <c r="J23" s="36"/>
      <c r="K23" s="36"/>
      <c r="L23" s="37">
        <v>1</v>
      </c>
      <c r="M23" s="36"/>
      <c r="N23" s="36"/>
      <c r="O23" s="36"/>
      <c r="P23" s="36"/>
      <c r="Q23" s="23"/>
      <c r="R23" s="23"/>
      <c r="S23" s="24"/>
    </row>
    <row r="24" spans="2:19">
      <c r="B24" s="87" t="s">
        <v>44</v>
      </c>
      <c r="C24" s="3" t="s">
        <v>45</v>
      </c>
      <c r="D24" s="9"/>
      <c r="E24" s="14">
        <f>SUM(E25:E26)</f>
        <v>40</v>
      </c>
      <c r="F24" s="12">
        <f>SUM(F25:F26)</f>
        <v>17</v>
      </c>
      <c r="G24" s="88">
        <f>AVERAGE(G25:G26)</f>
        <v>1</v>
      </c>
      <c r="H24" s="102"/>
      <c r="I24" s="102"/>
      <c r="J24" s="102"/>
      <c r="K24" s="102"/>
      <c r="L24" s="102"/>
      <c r="M24" s="102"/>
      <c r="N24" s="102"/>
      <c r="O24" s="102"/>
      <c r="P24" s="102"/>
      <c r="Q24" s="23"/>
      <c r="R24" s="23"/>
      <c r="S24" s="24"/>
    </row>
    <row r="25" spans="2:19">
      <c r="B25" s="89" t="s">
        <v>46</v>
      </c>
      <c r="C25" s="4"/>
      <c r="D25" s="8" t="s">
        <v>47</v>
      </c>
      <c r="E25" s="13">
        <v>16</v>
      </c>
      <c r="F25" s="13">
        <f>SUM(H25:P25)</f>
        <v>8</v>
      </c>
      <c r="G25" s="90">
        <v>1</v>
      </c>
      <c r="H25" s="102"/>
      <c r="I25" s="37">
        <v>8</v>
      </c>
      <c r="J25" s="36"/>
      <c r="K25" s="36"/>
      <c r="L25" s="36"/>
      <c r="M25" s="36"/>
      <c r="N25" s="36"/>
      <c r="O25" s="36"/>
      <c r="P25" s="36"/>
      <c r="Q25" s="23"/>
      <c r="R25" s="23"/>
      <c r="S25" s="24"/>
    </row>
    <row r="26" spans="2:19" ht="15.95" thickBot="1">
      <c r="B26" s="89" t="s">
        <v>48</v>
      </c>
      <c r="C26" s="4"/>
      <c r="D26" s="8" t="s">
        <v>49</v>
      </c>
      <c r="E26" s="13">
        <v>24</v>
      </c>
      <c r="F26" s="13">
        <f>SUM(H26:P26)</f>
        <v>9</v>
      </c>
      <c r="G26" s="90">
        <v>1</v>
      </c>
      <c r="H26" s="102"/>
      <c r="I26" s="37">
        <v>8</v>
      </c>
      <c r="J26" s="36"/>
      <c r="K26" s="36"/>
      <c r="L26" s="37">
        <v>1</v>
      </c>
      <c r="M26" s="36"/>
      <c r="N26" s="36"/>
      <c r="O26" s="36"/>
      <c r="P26" s="36"/>
      <c r="Q26" s="23"/>
      <c r="R26" s="23"/>
      <c r="S26" s="24"/>
    </row>
    <row r="27" spans="2:19">
      <c r="B27" s="87" t="s">
        <v>50</v>
      </c>
      <c r="C27" s="3" t="s">
        <v>51</v>
      </c>
      <c r="D27" s="22"/>
      <c r="E27" s="14">
        <f>SUM(E29,E28)</f>
        <v>24</v>
      </c>
      <c r="F27" s="14">
        <f>SUM(F29,F28)</f>
        <v>34</v>
      </c>
      <c r="G27" s="91">
        <f>AVERAGE(G29,G28)</f>
        <v>0.9</v>
      </c>
      <c r="H27" s="102"/>
      <c r="I27" s="102"/>
      <c r="J27" s="102"/>
      <c r="K27" s="102"/>
      <c r="L27" s="102"/>
      <c r="M27" s="102"/>
      <c r="N27" s="102"/>
      <c r="O27" s="102"/>
      <c r="P27" s="102"/>
      <c r="Q27" s="23"/>
      <c r="R27" s="23"/>
      <c r="S27" s="24"/>
    </row>
    <row r="28" spans="2:19">
      <c r="B28" s="89" t="s">
        <v>52</v>
      </c>
      <c r="C28" s="4"/>
      <c r="D28" s="20" t="s">
        <v>53</v>
      </c>
      <c r="E28" s="13">
        <v>8</v>
      </c>
      <c r="F28" s="13">
        <f>SUM(H28:P28)</f>
        <v>11</v>
      </c>
      <c r="G28" s="90">
        <v>0.9</v>
      </c>
      <c r="H28" s="102"/>
      <c r="I28" s="36"/>
      <c r="J28" s="37">
        <v>6</v>
      </c>
      <c r="K28" s="36"/>
      <c r="L28" s="36"/>
      <c r="M28" s="36"/>
      <c r="N28" s="36"/>
      <c r="O28" s="37">
        <v>2</v>
      </c>
      <c r="P28" s="37">
        <v>3</v>
      </c>
      <c r="Q28" s="23"/>
      <c r="R28" s="23"/>
      <c r="S28" s="24"/>
    </row>
    <row r="29" spans="2:19" ht="17.100000000000001" thickBot="1">
      <c r="B29" s="92" t="s">
        <v>54</v>
      </c>
      <c r="C29" s="5"/>
      <c r="D29" s="21" t="s">
        <v>55</v>
      </c>
      <c r="E29" s="15">
        <v>16</v>
      </c>
      <c r="F29" s="15">
        <f>SUM(H29:P29)</f>
        <v>23</v>
      </c>
      <c r="G29" s="93">
        <v>0.9</v>
      </c>
      <c r="H29" s="102"/>
      <c r="I29" s="36"/>
      <c r="J29" s="37">
        <v>2</v>
      </c>
      <c r="K29" s="36"/>
      <c r="L29" s="36"/>
      <c r="M29" s="37">
        <v>3</v>
      </c>
      <c r="N29" s="36"/>
      <c r="O29" s="37">
        <v>10</v>
      </c>
      <c r="P29" s="37">
        <v>8</v>
      </c>
      <c r="Q29" s="25"/>
      <c r="R29" s="26" t="s">
        <v>56</v>
      </c>
      <c r="S29" s="24"/>
    </row>
    <row r="30" spans="2:19" ht="17.100000000000001" thickBot="1">
      <c r="B30" s="94"/>
      <c r="C30" s="17"/>
      <c r="D30" s="18" t="s">
        <v>57</v>
      </c>
      <c r="E30" s="19"/>
      <c r="F30" s="19"/>
      <c r="G30" s="95"/>
      <c r="H30" s="102"/>
      <c r="I30" s="102"/>
      <c r="J30" s="102"/>
      <c r="K30" s="102"/>
      <c r="L30" s="102"/>
      <c r="M30" s="102"/>
      <c r="N30" s="102"/>
      <c r="O30" s="102"/>
      <c r="P30" s="102"/>
      <c r="Q30" s="23"/>
      <c r="R30" s="26" t="s">
        <v>58</v>
      </c>
      <c r="S30" s="24"/>
    </row>
    <row r="31" spans="2:19">
      <c r="B31" s="87" t="s">
        <v>59</v>
      </c>
      <c r="C31" s="3" t="s">
        <v>60</v>
      </c>
      <c r="D31" s="9"/>
      <c r="E31" s="14">
        <f>SUM(E32:E33)</f>
        <v>32</v>
      </c>
      <c r="F31" s="12">
        <f>SUM(F32:F33)</f>
        <v>41</v>
      </c>
      <c r="G31" s="88">
        <f>AVERAGE(G32:G33)</f>
        <v>0.75</v>
      </c>
      <c r="H31" s="102"/>
      <c r="I31" s="102"/>
      <c r="J31" s="102"/>
      <c r="K31" s="102"/>
      <c r="L31" s="102"/>
      <c r="M31" s="102"/>
      <c r="N31" s="102"/>
      <c r="O31" s="102"/>
      <c r="P31" s="102"/>
      <c r="Q31" s="23"/>
      <c r="R31" s="23"/>
      <c r="S31" s="24"/>
    </row>
    <row r="32" spans="2:19">
      <c r="B32" s="89" t="s">
        <v>61</v>
      </c>
      <c r="C32" s="4"/>
      <c r="D32" s="8" t="s">
        <v>62</v>
      </c>
      <c r="E32" s="13">
        <v>16</v>
      </c>
      <c r="F32" s="13">
        <f>SUM(H32:P32)</f>
        <v>16</v>
      </c>
      <c r="G32" s="90">
        <v>0.8</v>
      </c>
      <c r="H32" s="102"/>
      <c r="I32" s="38">
        <v>8</v>
      </c>
      <c r="J32" s="36"/>
      <c r="K32" s="38">
        <v>8</v>
      </c>
      <c r="L32" s="36"/>
      <c r="M32" s="105"/>
      <c r="N32" s="36"/>
      <c r="O32" s="36"/>
      <c r="P32" s="36"/>
      <c r="Q32" s="23"/>
      <c r="R32" s="23"/>
      <c r="S32" s="24"/>
    </row>
    <row r="33" spans="2:19" ht="15.95" thickBot="1">
      <c r="B33" s="89" t="s">
        <v>63</v>
      </c>
      <c r="C33" s="5"/>
      <c r="D33" s="10" t="s">
        <v>64</v>
      </c>
      <c r="E33" s="15">
        <v>16</v>
      </c>
      <c r="F33" s="15">
        <f>SUM(H33:P33)</f>
        <v>25</v>
      </c>
      <c r="G33" s="93">
        <v>0.7</v>
      </c>
      <c r="H33" s="102"/>
      <c r="I33" s="36"/>
      <c r="J33" s="38">
        <v>1</v>
      </c>
      <c r="K33" s="38">
        <v>8</v>
      </c>
      <c r="L33" s="38">
        <v>16</v>
      </c>
      <c r="M33" s="105"/>
      <c r="N33" s="36"/>
      <c r="O33" s="36"/>
      <c r="P33" s="36"/>
      <c r="Q33" s="23"/>
      <c r="R33" s="23"/>
      <c r="S33" s="24"/>
    </row>
    <row r="34" spans="2:19">
      <c r="B34" s="87" t="s">
        <v>65</v>
      </c>
      <c r="C34" s="3" t="s">
        <v>66</v>
      </c>
      <c r="D34" s="9"/>
      <c r="E34" s="14">
        <f>SUM(E35:E36)</f>
        <v>24</v>
      </c>
      <c r="F34" s="12">
        <f>SUM(F35:F36)</f>
        <v>0</v>
      </c>
      <c r="G34" s="88">
        <f>AVERAGE(G35:G36)</f>
        <v>0</v>
      </c>
      <c r="H34" s="102"/>
      <c r="I34" s="102"/>
      <c r="J34" s="102"/>
      <c r="K34" s="102"/>
      <c r="L34" s="102"/>
      <c r="M34" s="102"/>
      <c r="N34" s="102"/>
      <c r="O34" s="102"/>
      <c r="P34" s="102"/>
      <c r="Q34" s="23"/>
      <c r="R34" s="23"/>
      <c r="S34" s="24"/>
    </row>
    <row r="35" spans="2:19">
      <c r="B35" s="89" t="s">
        <v>67</v>
      </c>
      <c r="C35" s="4"/>
      <c r="D35" s="8" t="s">
        <v>68</v>
      </c>
      <c r="E35" s="13">
        <v>16</v>
      </c>
      <c r="F35" s="13">
        <f>SUM(H35:P35)</f>
        <v>0</v>
      </c>
      <c r="G35" s="90">
        <v>0</v>
      </c>
      <c r="H35" s="102"/>
      <c r="I35" s="36"/>
      <c r="J35" s="36"/>
      <c r="K35" s="36"/>
      <c r="L35" s="36"/>
      <c r="M35" s="105"/>
      <c r="N35" s="36"/>
      <c r="O35" s="36"/>
      <c r="P35" s="36"/>
      <c r="Q35" s="23"/>
      <c r="R35" s="23"/>
      <c r="S35" s="24"/>
    </row>
    <row r="36" spans="2:19" ht="15.95" thickBot="1">
      <c r="B36" s="89" t="s">
        <v>69</v>
      </c>
      <c r="C36" s="8"/>
      <c r="D36" s="8" t="s">
        <v>70</v>
      </c>
      <c r="E36" s="13">
        <v>8</v>
      </c>
      <c r="F36" s="15">
        <f>SUM(H36:P36)</f>
        <v>0</v>
      </c>
      <c r="G36" s="90">
        <v>0</v>
      </c>
      <c r="H36" s="102"/>
      <c r="I36" s="36"/>
      <c r="J36" s="36"/>
      <c r="K36" s="36"/>
      <c r="L36" s="36"/>
      <c r="M36" s="105"/>
      <c r="N36" s="36"/>
      <c r="O36" s="36"/>
      <c r="P36" s="36"/>
      <c r="Q36" s="23"/>
      <c r="R36" s="23"/>
      <c r="S36" s="24"/>
    </row>
    <row r="37" spans="2:19">
      <c r="B37" s="87">
        <v>7</v>
      </c>
      <c r="C37" s="3" t="s">
        <v>71</v>
      </c>
      <c r="D37" s="9"/>
      <c r="E37" s="14">
        <f>SUM(E38:E39)</f>
        <v>24</v>
      </c>
      <c r="F37" s="12">
        <f t="shared" ref="F37" si="1">SUM(F38:F39)</f>
        <v>0</v>
      </c>
      <c r="G37" s="88">
        <f>AVERAGE(G38:G39)</f>
        <v>0</v>
      </c>
      <c r="H37" s="102"/>
      <c r="I37" s="102"/>
      <c r="J37" s="102"/>
      <c r="K37" s="102"/>
      <c r="L37" s="102"/>
      <c r="M37" s="102"/>
      <c r="N37" s="102"/>
      <c r="O37" s="102"/>
      <c r="P37" s="102"/>
      <c r="Q37" s="23"/>
      <c r="R37" s="23"/>
      <c r="S37" s="24"/>
    </row>
    <row r="38" spans="2:19">
      <c r="B38" s="89" t="s">
        <v>72</v>
      </c>
      <c r="C38" s="4"/>
      <c r="D38" s="8" t="s">
        <v>73</v>
      </c>
      <c r="E38" s="13">
        <v>8</v>
      </c>
      <c r="F38" s="13">
        <f t="shared" ref="F38" si="2">SUM(H38:P38)</f>
        <v>0</v>
      </c>
      <c r="G38" s="90">
        <v>0</v>
      </c>
      <c r="H38" s="102"/>
      <c r="J38" s="36"/>
      <c r="K38" s="36"/>
      <c r="L38" s="36"/>
      <c r="M38" s="36"/>
      <c r="N38" s="105"/>
      <c r="O38" s="36"/>
      <c r="P38" s="36"/>
      <c r="Q38" s="23"/>
      <c r="R38" s="23"/>
      <c r="S38" s="24"/>
    </row>
    <row r="39" spans="2:19" ht="15.95" thickBot="1">
      <c r="B39" s="89" t="s">
        <v>74</v>
      </c>
      <c r="C39" s="4"/>
      <c r="D39" s="8" t="s">
        <v>75</v>
      </c>
      <c r="E39" s="13">
        <v>16</v>
      </c>
      <c r="F39" s="15">
        <f>SUM(H39:P39)</f>
        <v>0</v>
      </c>
      <c r="G39" s="90">
        <v>0</v>
      </c>
      <c r="H39" s="102"/>
      <c r="I39" s="36"/>
      <c r="J39" s="36"/>
      <c r="K39" s="36"/>
      <c r="L39" s="36"/>
      <c r="M39" s="36"/>
      <c r="N39" s="105"/>
      <c r="O39" s="36"/>
      <c r="P39" s="36"/>
      <c r="Q39" s="23"/>
      <c r="R39" s="23"/>
      <c r="S39" s="24"/>
    </row>
    <row r="40" spans="2:19">
      <c r="B40" s="87">
        <v>8</v>
      </c>
      <c r="C40" s="3" t="s">
        <v>76</v>
      </c>
      <c r="D40" s="9"/>
      <c r="E40" s="14">
        <f>SUM(E41:E42)</f>
        <v>24</v>
      </c>
      <c r="F40" s="12">
        <f>SUM(F41:F42)</f>
        <v>0</v>
      </c>
      <c r="G40" s="88">
        <f>AVERAGE(G41:G42)</f>
        <v>0</v>
      </c>
      <c r="H40" s="102"/>
      <c r="I40" s="102"/>
      <c r="J40" s="102"/>
      <c r="K40" s="102"/>
      <c r="L40" s="102"/>
      <c r="M40" s="102"/>
      <c r="N40" s="30"/>
      <c r="O40" s="102"/>
      <c r="P40" s="102"/>
      <c r="Q40" s="23"/>
      <c r="R40" s="23"/>
      <c r="S40" s="24"/>
    </row>
    <row r="41" spans="2:19">
      <c r="B41" s="89" t="s">
        <v>77</v>
      </c>
      <c r="C41" s="4"/>
      <c r="D41" s="8" t="s">
        <v>78</v>
      </c>
      <c r="E41" s="13">
        <v>8</v>
      </c>
      <c r="F41" s="13">
        <f>SUM(H41:P41)</f>
        <v>0</v>
      </c>
      <c r="G41" s="90">
        <v>0</v>
      </c>
      <c r="H41" s="102"/>
      <c r="I41" s="36"/>
      <c r="J41" s="36"/>
      <c r="K41" s="36"/>
      <c r="L41" s="36"/>
      <c r="M41" s="36"/>
      <c r="N41" s="105"/>
      <c r="O41" s="36"/>
      <c r="P41" s="36"/>
      <c r="Q41" s="23"/>
      <c r="R41" s="23"/>
      <c r="S41" s="24"/>
    </row>
    <row r="42" spans="2:19" ht="15.95" thickBot="1">
      <c r="B42" s="92" t="s">
        <v>79</v>
      </c>
      <c r="C42" s="4"/>
      <c r="D42" s="8" t="s">
        <v>80</v>
      </c>
      <c r="E42" s="13">
        <v>16</v>
      </c>
      <c r="F42" s="15">
        <f>SUM(H42:P42)</f>
        <v>0</v>
      </c>
      <c r="G42" s="90">
        <v>0</v>
      </c>
      <c r="H42" s="102"/>
      <c r="I42" s="36"/>
      <c r="J42" s="36"/>
      <c r="K42" s="36"/>
      <c r="L42" s="36"/>
      <c r="M42" s="36"/>
      <c r="N42" s="105"/>
      <c r="O42" s="36"/>
      <c r="P42" s="36"/>
      <c r="Q42" s="23"/>
      <c r="R42" s="23"/>
      <c r="S42" s="24"/>
    </row>
    <row r="43" spans="2:19">
      <c r="B43" s="87" t="s">
        <v>81</v>
      </c>
      <c r="C43" s="3" t="s">
        <v>82</v>
      </c>
      <c r="D43" s="9"/>
      <c r="E43" s="14">
        <f>SUM(E44:E45)</f>
        <v>80</v>
      </c>
      <c r="F43" s="12">
        <f t="shared" ref="F43" si="3">SUM(F44:F45)</f>
        <v>2</v>
      </c>
      <c r="G43" s="88">
        <f>AVERAGE(G44:G45)</f>
        <v>1.4999999999999999E-2</v>
      </c>
      <c r="H43" s="102"/>
      <c r="I43" s="102"/>
      <c r="J43" s="102"/>
      <c r="K43" s="102"/>
      <c r="L43" s="102"/>
      <c r="M43" s="102"/>
      <c r="N43" s="102"/>
      <c r="O43" s="102"/>
      <c r="P43" s="102"/>
      <c r="Q43" s="23"/>
      <c r="R43" s="23"/>
      <c r="S43" s="24"/>
    </row>
    <row r="44" spans="2:19">
      <c r="B44" s="89" t="s">
        <v>83</v>
      </c>
      <c r="C44" s="4"/>
      <c r="D44" s="8" t="s">
        <v>84</v>
      </c>
      <c r="E44" s="13">
        <v>24</v>
      </c>
      <c r="F44" s="13">
        <f t="shared" ref="F44" si="4">SUM(H44:P44)</f>
        <v>0</v>
      </c>
      <c r="G44" s="90">
        <v>0</v>
      </c>
      <c r="H44" s="102"/>
      <c r="I44" s="36"/>
      <c r="J44" s="36"/>
      <c r="K44" s="36"/>
      <c r="L44" s="36"/>
      <c r="M44" s="36"/>
      <c r="N44" s="36"/>
      <c r="O44" s="106"/>
      <c r="P44" s="106"/>
      <c r="Q44" s="23"/>
      <c r="R44" s="23"/>
      <c r="S44" s="24"/>
    </row>
    <row r="45" spans="2:19" ht="15.95" thickBot="1">
      <c r="B45" s="96" t="s">
        <v>85</v>
      </c>
      <c r="C45" s="97"/>
      <c r="D45" s="98" t="s">
        <v>86</v>
      </c>
      <c r="E45" s="99">
        <v>56</v>
      </c>
      <c r="F45" s="15">
        <f>SUM(H45:P45)</f>
        <v>2</v>
      </c>
      <c r="G45" s="100">
        <v>0.03</v>
      </c>
      <c r="H45" s="103"/>
      <c r="I45" s="39"/>
      <c r="J45" s="104">
        <v>2</v>
      </c>
      <c r="K45" s="39"/>
      <c r="L45" s="39"/>
      <c r="M45" s="39"/>
      <c r="N45" s="39"/>
      <c r="O45" s="107"/>
      <c r="P45" s="107"/>
      <c r="Q45" s="27"/>
      <c r="R45" s="27"/>
      <c r="S45" s="28"/>
    </row>
    <row r="46" spans="2:19" ht="15.95" thickBot="1"/>
    <row r="47" spans="2:19" ht="15.95">
      <c r="C47" s="40" t="s">
        <v>87</v>
      </c>
    </row>
    <row r="48" spans="2:19" ht="17.100000000000001" thickBot="1">
      <c r="C48" s="41" t="s">
        <v>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Rebekka Alve</cp:lastModifiedBy>
  <cp:revision/>
  <dcterms:created xsi:type="dcterms:W3CDTF">2025-09-24T11:38:29Z</dcterms:created>
  <dcterms:modified xsi:type="dcterms:W3CDTF">2025-11-13T14:18:22Z</dcterms:modified>
  <cp:category/>
  <cp:contentStatus/>
</cp:coreProperties>
</file>